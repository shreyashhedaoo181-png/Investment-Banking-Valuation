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Financial Ratios" sheetId="2" state="visible" r:id="rId2"/>
    <sheet xmlns:r="http://schemas.openxmlformats.org/officeDocument/2006/relationships" name="Comparable Analysis" sheetId="3" state="visible" r:id="rId3"/>
    <sheet xmlns:r="http://schemas.openxmlformats.org/officeDocument/2006/relationships" name="Valuation Summary" sheetId="4" state="visible" r:id="rId4"/>
    <sheet xmlns:r="http://schemas.openxmlformats.org/officeDocument/2006/relationships"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Ticker</t>
        </is>
      </c>
      <c r="C1" s="1" t="inlineStr">
        <is>
          <t>Revenue (₹ Cr)</t>
        </is>
      </c>
      <c r="D1" s="1" t="inlineStr">
        <is>
          <t>EBITDA (₹ Cr)</t>
        </is>
      </c>
      <c r="E1" s="1" t="inlineStr">
        <is>
          <t>EBITDA Margin (%)</t>
        </is>
      </c>
      <c r="F1" s="1" t="inlineStr">
        <is>
          <t>Net Profit (₹ Cr)</t>
        </is>
      </c>
      <c r="G1" s="1" t="inlineStr">
        <is>
          <t>EPS (₹)</t>
        </is>
      </c>
      <c r="H1" s="1" t="inlineStr">
        <is>
          <t>Market Cap (₹ Cr)</t>
        </is>
      </c>
      <c r="I1" s="1" t="inlineStr">
        <is>
          <t>Enterprise Value (₹ Cr)</t>
        </is>
      </c>
      <c r="J1" s="1" t="inlineStr">
        <is>
          <t>P/E</t>
        </is>
      </c>
      <c r="K1" s="1" t="inlineStr">
        <is>
          <t>EV/EBITDA</t>
        </is>
      </c>
      <c r="L1" s="1" t="inlineStr">
        <is>
          <t>Revenue Growth (%)</t>
        </is>
      </c>
      <c r="M1" s="1" t="inlineStr">
        <is>
          <t>ROE (%)</t>
        </is>
      </c>
      <c r="N1" s="1" t="inlineStr">
        <is>
          <t>Debt to Equity</t>
        </is>
      </c>
    </row>
    <row r="2">
      <c r="A2" t="inlineStr">
        <is>
          <t>TCS</t>
        </is>
      </c>
      <c r="B2" t="inlineStr">
        <is>
          <t>TCS</t>
        </is>
      </c>
      <c r="C2" t="n">
        <v>255324</v>
      </c>
      <c r="D2" t="n">
        <v>69784</v>
      </c>
      <c r="E2" t="n">
        <v>27.34</v>
      </c>
      <c r="F2" t="n">
        <v>48970</v>
      </c>
      <c r="G2" t="n">
        <v>118.4</v>
      </c>
      <c r="H2" t="n">
        <v>1450000</v>
      </c>
      <c r="I2" t="n">
        <v>1520000</v>
      </c>
      <c r="J2" t="n">
        <v>29.6</v>
      </c>
      <c r="K2" t="n">
        <v>21.8</v>
      </c>
      <c r="L2" t="n">
        <v>6.1</v>
      </c>
      <c r="M2" t="n">
        <v>49.2</v>
      </c>
      <c r="N2" t="n">
        <v>0.08</v>
      </c>
    </row>
    <row r="3">
      <c r="A3" t="inlineStr">
        <is>
          <t>Infosys</t>
        </is>
      </c>
      <c r="B3" t="inlineStr">
        <is>
          <t>INFY</t>
        </is>
      </c>
      <c r="C3" t="n">
        <v>153670</v>
      </c>
      <c r="D3" t="n">
        <v>36500</v>
      </c>
      <c r="E3" t="n">
        <v>23.75</v>
      </c>
      <c r="F3" t="n">
        <v>26350</v>
      </c>
      <c r="G3" t="n">
        <v>63.8</v>
      </c>
      <c r="H3" t="n">
        <v>720000</v>
      </c>
      <c r="I3" t="n">
        <v>712000</v>
      </c>
      <c r="J3" t="n">
        <v>27.9</v>
      </c>
      <c r="K3" t="n">
        <v>19.5</v>
      </c>
      <c r="L3" t="n">
        <v>4.8</v>
      </c>
      <c r="M3" t="n">
        <v>31.7</v>
      </c>
      <c r="N3" t="n">
        <v>0.05</v>
      </c>
    </row>
    <row r="4">
      <c r="A4" t="inlineStr">
        <is>
          <t>HCLTech</t>
        </is>
      </c>
      <c r="B4" t="inlineStr">
        <is>
          <t>HCLTECH</t>
        </is>
      </c>
      <c r="C4" t="n">
        <v>109913</v>
      </c>
      <c r="D4" t="n">
        <v>20850</v>
      </c>
      <c r="E4" t="n">
        <v>18.97</v>
      </c>
      <c r="F4" t="n">
        <v>15710</v>
      </c>
      <c r="G4" t="n">
        <v>58.1</v>
      </c>
      <c r="H4" t="n">
        <v>520000</v>
      </c>
      <c r="I4" t="n">
        <v>518000</v>
      </c>
      <c r="J4" t="n">
        <v>25.4</v>
      </c>
      <c r="K4" t="n">
        <v>17.2</v>
      </c>
      <c r="L4" t="n">
        <v>6.5</v>
      </c>
      <c r="M4" t="n">
        <v>24.6</v>
      </c>
      <c r="N4" t="n">
        <v>0.1</v>
      </c>
    </row>
    <row r="5">
      <c r="A5" t="inlineStr">
        <is>
          <t>Wipro</t>
        </is>
      </c>
      <c r="B5" t="inlineStr">
        <is>
          <t>WIPRO</t>
        </is>
      </c>
      <c r="C5" t="n">
        <v>89760</v>
      </c>
      <c r="D5" t="n">
        <v>17120</v>
      </c>
      <c r="E5" t="n">
        <v>19.07</v>
      </c>
      <c r="F5" t="n">
        <v>11120</v>
      </c>
      <c r="G5" t="n">
        <v>10.7</v>
      </c>
      <c r="H5" t="n">
        <v>320000</v>
      </c>
      <c r="I5" t="n">
        <v>319500</v>
      </c>
      <c r="J5" t="n">
        <v>23.5</v>
      </c>
      <c r="K5" t="n">
        <v>15.9</v>
      </c>
      <c r="L5" t="n">
        <v>1.8</v>
      </c>
      <c r="M5" t="n">
        <v>17.8</v>
      </c>
      <c r="N5" t="n">
        <v>0.2</v>
      </c>
    </row>
    <row r="6">
      <c r="A6" t="inlineStr">
        <is>
          <t>Tech Mahindra</t>
        </is>
      </c>
      <c r="B6" t="inlineStr">
        <is>
          <t>TECHM</t>
        </is>
      </c>
      <c r="C6" t="n">
        <v>52290</v>
      </c>
      <c r="D6" t="n">
        <v>9300</v>
      </c>
      <c r="E6" t="n">
        <v>17.79</v>
      </c>
      <c r="F6" t="n">
        <v>4800</v>
      </c>
      <c r="G6" t="n">
        <v>49.1</v>
      </c>
      <c r="H6" t="n">
        <v>170000</v>
      </c>
      <c r="I6" t="n">
        <v>171000</v>
      </c>
      <c r="J6" t="n">
        <v>24.7</v>
      </c>
      <c r="K6" t="n">
        <v>18.4</v>
      </c>
      <c r="L6" t="n">
        <v>2.6</v>
      </c>
      <c r="M6" t="n">
        <v>13.9</v>
      </c>
      <c r="N6" t="n">
        <v>0.14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P/E</t>
        </is>
      </c>
      <c r="C1" t="inlineStr">
        <is>
          <t>EV/EBITDA</t>
        </is>
      </c>
      <c r="D1" t="inlineStr">
        <is>
          <t>EBITDA Margin (%)</t>
        </is>
      </c>
      <c r="E1" t="inlineStr">
        <is>
          <t>ROE (%)</t>
        </is>
      </c>
      <c r="F1" t="inlineStr">
        <is>
          <t>Revenue Growth (%)</t>
        </is>
      </c>
    </row>
    <row r="2">
      <c r="A2" t="inlineStr">
        <is>
          <t>TCS</t>
        </is>
      </c>
      <c r="B2" t="n">
        <v>29.6</v>
      </c>
      <c r="C2" t="n">
        <v>21.8</v>
      </c>
      <c r="D2" t="n">
        <v>27.34</v>
      </c>
      <c r="E2" t="n">
        <v>49.2</v>
      </c>
      <c r="F2" t="n">
        <v>6.1</v>
      </c>
    </row>
    <row r="3">
      <c r="A3" t="inlineStr">
        <is>
          <t>Infosys</t>
        </is>
      </c>
      <c r="B3" t="n">
        <v>27.9</v>
      </c>
      <c r="C3" t="n">
        <v>19.5</v>
      </c>
      <c r="D3" t="n">
        <v>23.75</v>
      </c>
      <c r="E3" t="n">
        <v>31.7</v>
      </c>
      <c r="F3" t="n">
        <v>4.8</v>
      </c>
    </row>
    <row r="4">
      <c r="A4" t="inlineStr">
        <is>
          <t>HCLTech</t>
        </is>
      </c>
      <c r="B4" t="n">
        <v>25.4</v>
      </c>
      <c r="C4" t="n">
        <v>17.2</v>
      </c>
      <c r="D4" t="n">
        <v>18.97</v>
      </c>
      <c r="E4" t="n">
        <v>24.6</v>
      </c>
      <c r="F4" t="n">
        <v>6.5</v>
      </c>
    </row>
    <row r="5">
      <c r="A5" t="inlineStr">
        <is>
          <t>Wipro</t>
        </is>
      </c>
      <c r="B5" t="n">
        <v>23.5</v>
      </c>
      <c r="C5" t="n">
        <v>15.9</v>
      </c>
      <c r="D5" t="n">
        <v>19.07</v>
      </c>
      <c r="E5" t="n">
        <v>17.8</v>
      </c>
      <c r="F5" t="n">
        <v>1.8</v>
      </c>
    </row>
    <row r="6">
      <c r="A6" t="inlineStr">
        <is>
          <t>Tech Mahindra</t>
        </is>
      </c>
      <c r="B6" t="n">
        <v>24.7</v>
      </c>
      <c r="C6" t="n">
        <v>18.4</v>
      </c>
      <c r="D6" t="n">
        <v>17.79</v>
      </c>
      <c r="E6" t="n">
        <v>13.9</v>
      </c>
      <c r="F6" t="n">
        <v>2.6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P/E</t>
        </is>
      </c>
      <c r="C1" t="inlineStr">
        <is>
          <t>Industry Avg P/E</t>
        </is>
      </c>
      <c r="D1" t="inlineStr">
        <is>
          <t>Premium/Discount</t>
        </is>
      </c>
      <c r="E1" t="inlineStr">
        <is>
          <t>Recommendation</t>
        </is>
      </c>
    </row>
    <row r="2">
      <c r="A2" t="inlineStr">
        <is>
          <t>TCS</t>
        </is>
      </c>
      <c r="B2" t="n">
        <v>29.6</v>
      </c>
      <c r="C2">
        <f>AVERAGE(B2:B6)</f>
        <v/>
      </c>
      <c r="D2">
        <f>B2-C2</f>
        <v/>
      </c>
      <c r="E2" t="inlineStr"/>
    </row>
    <row r="3">
      <c r="A3" t="inlineStr">
        <is>
          <t>Infosys</t>
        </is>
      </c>
      <c r="B3" t="n">
        <v>27.9</v>
      </c>
      <c r="C3">
        <f>AVERAGE(B2:B6)</f>
        <v/>
      </c>
      <c r="D3">
        <f>B3-C3</f>
        <v/>
      </c>
      <c r="E3" t="inlineStr"/>
    </row>
    <row r="4">
      <c r="A4" t="inlineStr">
        <is>
          <t>HCLTech</t>
        </is>
      </c>
      <c r="B4" t="n">
        <v>25.4</v>
      </c>
      <c r="C4">
        <f>AVERAGE(B2:B6)</f>
        <v/>
      </c>
      <c r="D4">
        <f>B4-C4</f>
        <v/>
      </c>
      <c r="E4" t="inlineStr"/>
    </row>
    <row r="5">
      <c r="A5" t="inlineStr">
        <is>
          <t>Wipro</t>
        </is>
      </c>
      <c r="B5" t="n">
        <v>23.5</v>
      </c>
      <c r="C5">
        <f>AVERAGE(B2:B6)</f>
        <v/>
      </c>
      <c r="D5">
        <f>B5-C5</f>
        <v/>
      </c>
      <c r="E5" t="inlineStr"/>
    </row>
    <row r="6">
      <c r="A6" t="inlineStr">
        <is>
          <t>Tech Mahindra</t>
        </is>
      </c>
      <c r="B6" t="n">
        <v>24.7</v>
      </c>
      <c r="C6">
        <f>AVERAGE(B2:B6)</f>
        <v/>
      </c>
      <c r="D6">
        <f>B6-C6</f>
        <v/>
      </c>
      <c r="E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Recommendation</t>
        </is>
      </c>
    </row>
    <row r="2">
      <c r="A2" t="inlineStr">
        <is>
          <t>TCS</t>
        </is>
      </c>
      <c r="B2" t="inlineStr">
        <is>
          <t>Hold</t>
        </is>
      </c>
    </row>
    <row r="3">
      <c r="A3" t="inlineStr">
        <is>
          <t>Infosys</t>
        </is>
      </c>
      <c r="B3" t="inlineStr">
        <is>
          <t>Buy</t>
        </is>
      </c>
    </row>
    <row r="4">
      <c r="A4" t="inlineStr">
        <is>
          <t>HCLTech</t>
        </is>
      </c>
      <c r="B4" t="inlineStr">
        <is>
          <t>Buy</t>
        </is>
      </c>
    </row>
    <row r="5">
      <c r="A5" t="inlineStr">
        <is>
          <t>Wipro</t>
        </is>
      </c>
      <c r="B5" t="inlineStr">
        <is>
          <t>Hold</t>
        </is>
      </c>
    </row>
    <row r="6">
      <c r="A6" t="inlineStr">
        <is>
          <t>Tech Mahindra</t>
        </is>
      </c>
      <c r="B6" t="inlineStr">
        <is>
          <t>Hold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Dashboard (Add charts in Excel)</t>
        </is>
      </c>
    </row>
    <row r="3">
      <c r="A3" t="inlineStr">
        <is>
          <t>Average P/E</t>
        </is>
      </c>
      <c r="B3">
        <f>AVERAGE('Financial Ratios'!B2:B6)</f>
        <v/>
      </c>
    </row>
    <row r="4">
      <c r="A4" t="inlineStr">
        <is>
          <t>Average EV/EBITDA</t>
        </is>
      </c>
      <c r="B4">
        <f>AVERAGE('Financial Ratios'!C2:C6)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2026-08-01T17:36:39Z</dcterms:created>
  <dcterms:modified xmlns:dcterms="http://purl.org/dc/terms/" xmlns:xsi="http://www.w3.org/2001/XMLSchema-instance" xsi:type="dcterms:W3CDTF">2026-08-01T17:36:39Z</dcterms:modified>
</cp:coreProperties>
</file>